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ited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<sst xmlns="http://schemas.openxmlformats.org/spreadsheetml/2006/main" count="34" uniqueCount="34">
  <si>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BILL OF MATERIALS - EDITED CART</t>
  </si>
  <si>
    <t xml:space="preserve">#</t>
  </si>
  <si>
    <t xml:space="preserve">Item Description</t>
  </si>
  <si>
    <t xml:space="preserve">Quantity</t>
  </si>
  <si>
    <t xml:space="preserve">Unit Price (BDT)</t>
  </si>
  <si>
    <t xml:space="preserve">Line Total (BDT)</t>
  </si>
  <si>
    <t xml:space="preserve">VEROBOARD DOT TYPE</t>
  </si>
  <si>
    <t xml:space="preserve">DESOLDERING BRAID SOLDER REMOVER WICK 3MM X 1.5M</t>
  </si>
  <si>
    <t xml:space="preserve">MT3608 2A MAX DC-DC STEP UP BOOSTER POWER MODULE</t>
  </si>
  <si>
    <t xml:space="preserve">18650 LITHIUM BATTERY CHARGER USB TYPE-C</t>
  </si>
  <si>
    <t xml:space="preserve">18650 GENERIC 3.7V LI-ION BATTERY - BUTTON TOP</t>
  </si>
  <si>
    <t xml:space="preserve">MALE TO MALE JUMPER WIRES 40 PIN 30CM</t>
  </si>
  <si>
    <t xml:space="preserve">FEMALE TO FEMALE JUMPER WIRES 40 PIN 30CM</t>
  </si>
  <si>
    <t xml:space="preserve">1 METER ELECTRICAL FLEXIBLE CABLE/WIRE - GREEN</t>
  </si>
  <si>
    <t xml:space="preserve">1 METER ELECTRICAL FLEXIBLE CABLE/WIRE - BLUE</t>
  </si>
  <si>
    <t xml:space="preserve">1 METER ELECTRICAL FLEXIBLE CABLE/WIRE - YELLOW</t>
  </si>
  <si>
    <t xml:space="preserve">1 METER ELECTRICAL FLEXIBLE CABLE/WIRE - GREY</t>
  </si>
  <si>
    <t xml:space="preserve">3 WATT 8 OHM MINI SPEAKER FOR ELECTRONICS PROJECT WITH JST-PH2.0 INTERFACE</t>
  </si>
  <si>
    <t xml:space="preserve">12 X 12MM TACT TACTILE SWITCHES CAP ROUND PUSH BUTTON COVER</t>
  </si>
  <si>
    <t xml:space="preserve">MOMENTARY TACTILE PUSH BUTTON SWITCH 12 X 12MM X 12MM</t>
  </si>
  <si>
    <t xml:space="preserve">PREMIUM 60/40 SN PB TIN SOLDERING LEAD WITH ROSIN 20G LOW MELTING POINT</t>
  </si>
  <si>
    <t xml:space="preserve">2.4GHZ DUCK ANTENNA RP-SMA - 7.75 INCH MALE</t>
  </si>
  <si>
    <t xml:space="preserve">MAX98357A I2S DAC CLASS D MONO AMPLIFIER MODULE</t>
  </si>
  <si>
    <t xml:space="preserve">ESP32 WROOM-32U CP2102 DEVELOPMENT BOARD MICRO USB</t>
  </si>
  <si>
    <t xml:space="preserve">INMP441 OMNIDIRECTIONAL MICROPHONE MODULE ORIGINAL</t>
  </si>
  <si>
    <t xml:space="preserve">5X5X7MM SQUARE HEAD RED LED</t>
  </si>
  <si>
    <t xml:space="preserve">3300UF 16V ELECTROLYTIC CAPACITOR</t>
  </si>
  <si>
    <t xml:space="preserve">RP-SMA TO U.FL ADAPTER RF CABLE - FEMALE 150MM</t>
  </si>
  <si>
    <t xml:space="preserve">FEMALE PIN HEADER 2.54MM PITCH - WHITE</t>
  </si>
  <si>
    <t xml:space="preserve">ROCKER SWITCH KCD11 ON/OFF SWITCH (MINI) RED</t>
  </si>
  <si>
    <t xml:space="preserve">SUBTOTAL (ITEMS)</t>
  </si>
  <si>
    <t xml:space="preserve">SHIPPING FEE</t>
  </si>
  <si>
    <t xml:space="preserve">GRAND TOTAL</t>
  </si>
  <si>
    <t xml:space="preserve">Total Line Items / Total Quantity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</si>
</sst>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1F4E78"/>
      </patternFill>
    </fill>
    <fill>
      <patternFill patternType="solid">
        <fgColor rgb="FF1F4E78"/>
        <bgColor rgb="FF2038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5" min="4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n">
        <v>1</v>
      </c>
      <c r="B4" s="4" t="s">
        <v>6</v>
      </c>
      <c r="C4" s="3" t="n">
        <v>6</v>
      </c>
      <c r="D4" s="5" t="n">
        <v>45</v>
      </c>
      <c r="E4" s="5" t="n">
        <f aca="false">C4*D4</f>
        <v>270</v>
      </c>
    </row>
    <row r="5" customFormat="false" ht="15" hidden="false" customHeight="false" outlineLevel="0" collapsed="false">
      <c r="A5" s="6" t="n">
        <v>2</v>
      </c>
      <c r="B5" s="7" t="s">
        <v>7</v>
      </c>
      <c r="C5" s="6" t="n">
        <v>1</v>
      </c>
      <c r="D5" s="8" t="n">
        <v>280</v>
      </c>
      <c r="E5" s="8" t="n">
        <f aca="false">C5*D5</f>
        <v>280</v>
      </c>
    </row>
    <row r="6" customFormat="false" ht="15" hidden="false" customHeight="false" outlineLevel="0" collapsed="false">
      <c r="A6" s="3" t="n">
        <v>3</v>
      </c>
      <c r="B6" s="4" t="s">
        <v>8</v>
      </c>
      <c r="C6" s="3" t="n">
        <v>4</v>
      </c>
      <c r="D6" s="5" t="n">
        <v>160</v>
      </c>
      <c r="E6" s="5" t="n">
        <f aca="false">C6*D6</f>
        <v>640</v>
      </c>
    </row>
    <row r="7" customFormat="false" ht="15" hidden="false" customHeight="false" outlineLevel="0" collapsed="false">
      <c r="A7" s="6" t="n">
        <v>4</v>
      </c>
      <c r="B7" s="7" t="s">
        <v>9</v>
      </c>
      <c r="C7" s="6" t="n">
        <v>4</v>
      </c>
      <c r="D7" s="8" t="n">
        <v>170</v>
      </c>
      <c r="E7" s="8" t="n">
        <f aca="false">C7*D7</f>
        <v>680</v>
      </c>
    </row>
    <row r="8" customFormat="false" ht="15" hidden="false" customHeight="false" outlineLevel="0" collapsed="false">
      <c r="A8" s="3" t="n">
        <v>5</v>
      </c>
      <c r="B8" s="4" t="s">
        <v>10</v>
      </c>
      <c r="C8" s="3" t="n">
        <v>4</v>
      </c>
      <c r="D8" s="5" t="n">
        <v>170</v>
      </c>
      <c r="E8" s="5" t="n">
        <f aca="false">C8*D8</f>
        <v>680</v>
      </c>
    </row>
    <row r="9" customFormat="false" ht="15" hidden="false" customHeight="false" outlineLevel="0" collapsed="false">
      <c r="A9" s="6" t="n">
        <v>6</v>
      </c>
      <c r="B9" s="7" t="s">
        <v>11</v>
      </c>
      <c r="C9" s="6" t="n">
        <v>2</v>
      </c>
      <c r="D9" s="8" t="n">
        <v>160</v>
      </c>
      <c r="E9" s="8" t="n">
        <f aca="false">C9*D9</f>
        <v>320</v>
      </c>
    </row>
    <row r="10" customFormat="false" ht="15" hidden="false" customHeight="false" outlineLevel="0" collapsed="false">
      <c r="A10" s="3" t="n">
        <v>7</v>
      </c>
      <c r="B10" s="4" t="s">
        <v>12</v>
      </c>
      <c r="C10" s="3" t="n">
        <v>2</v>
      </c>
      <c r="D10" s="5" t="n">
        <v>140</v>
      </c>
      <c r="E10" s="5" t="n">
        <f aca="false">C10*D10</f>
        <v>280</v>
      </c>
    </row>
    <row r="11" customFormat="false" ht="15" hidden="false" customHeight="false" outlineLevel="0" collapsed="false">
      <c r="A11" s="6" t="n">
        <v>8</v>
      </c>
      <c r="B11" s="7" t="s">
        <v>13</v>
      </c>
      <c r="C11" s="6" t="n">
        <v>2</v>
      </c>
      <c r="D11" s="8" t="n">
        <v>25</v>
      </c>
      <c r="E11" s="8" t="n">
        <f aca="false">C11*D11</f>
        <v>50</v>
      </c>
    </row>
    <row r="12" customFormat="false" ht="15" hidden="false" customHeight="false" outlineLevel="0" collapsed="false">
      <c r="A12" s="3" t="n">
        <v>9</v>
      </c>
      <c r="B12" s="4" t="s">
        <v>14</v>
      </c>
      <c r="C12" s="3" t="n">
        <v>2</v>
      </c>
      <c r="D12" s="5" t="n">
        <v>28</v>
      </c>
      <c r="E12" s="5" t="n">
        <f aca="false">C12*D12</f>
        <v>56</v>
      </c>
    </row>
    <row r="13" customFormat="false" ht="15" hidden="false" customHeight="false" outlineLevel="0" collapsed="false">
      <c r="A13" s="6" t="n">
        <v>10</v>
      </c>
      <c r="B13" s="7" t="s">
        <v>15</v>
      </c>
      <c r="C13" s="6" t="n">
        <v>2</v>
      </c>
      <c r="D13" s="8" t="n">
        <v>28</v>
      </c>
      <c r="E13" s="8" t="n">
        <f aca="false">C13*D13</f>
        <v>56</v>
      </c>
    </row>
    <row r="14" customFormat="false" ht="15" hidden="false" customHeight="false" outlineLevel="0" collapsed="false">
      <c r="A14" s="3" t="n">
        <v>11</v>
      </c>
      <c r="B14" s="4" t="s">
        <v>16</v>
      </c>
      <c r="C14" s="3" t="n">
        <v>2</v>
      </c>
      <c r="D14" s="5" t="n">
        <v>28</v>
      </c>
      <c r="E14" s="5" t="n">
        <f aca="false">C14*D14</f>
        <v>56</v>
      </c>
    </row>
    <row r="15" customFormat="false" ht="23.85" hidden="false" customHeight="false" outlineLevel="0" collapsed="false">
      <c r="A15" s="6" t="n">
        <v>12</v>
      </c>
      <c r="B15" s="7" t="s">
        <v>17</v>
      </c>
      <c r="C15" s="6" t="n">
        <v>2</v>
      </c>
      <c r="D15" s="8" t="n">
        <v>350</v>
      </c>
      <c r="E15" s="8" t="n">
        <f aca="false">C15*D15</f>
        <v>700</v>
      </c>
    </row>
    <row r="16" customFormat="false" ht="23.85" hidden="false" customHeight="false" outlineLevel="0" collapsed="false">
      <c r="A16" s="3" t="n">
        <v>13</v>
      </c>
      <c r="B16" s="4" t="s">
        <v>18</v>
      </c>
      <c r="C16" s="3" t="n">
        <v>2</v>
      </c>
      <c r="D16" s="5" t="n">
        <v>5</v>
      </c>
      <c r="E16" s="5" t="n">
        <f aca="false">C16*D16</f>
        <v>10</v>
      </c>
    </row>
    <row r="17" customFormat="false" ht="23.85" hidden="false" customHeight="false" outlineLevel="0" collapsed="false">
      <c r="A17" s="6" t="n">
        <v>14</v>
      </c>
      <c r="B17" s="7" t="s">
        <v>19</v>
      </c>
      <c r="C17" s="6" t="n">
        <v>2</v>
      </c>
      <c r="D17" s="8" t="n">
        <v>11</v>
      </c>
      <c r="E17" s="8" t="n">
        <f aca="false">C17*D17</f>
        <v>22</v>
      </c>
    </row>
    <row r="18" customFormat="false" ht="23.85" hidden="false" customHeight="false" outlineLevel="0" collapsed="false">
      <c r="A18" s="3" t="n">
        <v>15</v>
      </c>
      <c r="B18" s="4" t="s">
        <v>20</v>
      </c>
      <c r="C18" s="3" t="n">
        <v>2</v>
      </c>
      <c r="D18" s="5" t="n">
        <v>145</v>
      </c>
      <c r="E18" s="5" t="n">
        <f aca="false">C18*D18</f>
        <v>290</v>
      </c>
    </row>
    <row r="19" customFormat="false" ht="15" hidden="false" customHeight="false" outlineLevel="0" collapsed="false">
      <c r="A19" s="6" t="n">
        <v>16</v>
      </c>
      <c r="B19" s="7" t="s">
        <v>21</v>
      </c>
      <c r="C19" s="6" t="n">
        <v>2</v>
      </c>
      <c r="D19" s="8" t="n">
        <v>350</v>
      </c>
      <c r="E19" s="8" t="n">
        <f aca="false">C19*D19</f>
        <v>700</v>
      </c>
    </row>
    <row r="20" customFormat="false" ht="15" hidden="false" customHeight="false" outlineLevel="0" collapsed="false">
      <c r="A20" s="3" t="n">
        <v>17</v>
      </c>
      <c r="B20" s="4" t="s">
        <v>22</v>
      </c>
      <c r="C20" s="3" t="n">
        <v>2</v>
      </c>
      <c r="D20" s="5" t="n">
        <v>750</v>
      </c>
      <c r="E20" s="5" t="n">
        <f aca="false">C20*D20</f>
        <v>1500</v>
      </c>
    </row>
    <row r="21" customFormat="false" ht="23.85" hidden="false" customHeight="false" outlineLevel="0" collapsed="false">
      <c r="A21" s="6" t="n">
        <v>18</v>
      </c>
      <c r="B21" s="7" t="s">
        <v>23</v>
      </c>
      <c r="C21" s="6" t="n">
        <v>2</v>
      </c>
      <c r="D21" s="8" t="n">
        <v>1050</v>
      </c>
      <c r="E21" s="8" t="n">
        <f aca="false">C21*D21</f>
        <v>2100</v>
      </c>
    </row>
    <row r="22" customFormat="false" ht="23.85" hidden="false" customHeight="false" outlineLevel="0" collapsed="false">
      <c r="A22" s="3" t="n">
        <v>19</v>
      </c>
      <c r="B22" s="4" t="s">
        <v>24</v>
      </c>
      <c r="C22" s="3" t="n">
        <v>2</v>
      </c>
      <c r="D22" s="5" t="n">
        <v>900</v>
      </c>
      <c r="E22" s="5" t="n">
        <f aca="false">C22*D22</f>
        <v>1800</v>
      </c>
    </row>
    <row r="23" customFormat="false" ht="15" hidden="false" customHeight="false" outlineLevel="0" collapsed="false">
      <c r="A23" s="6" t="n">
        <v>20</v>
      </c>
      <c r="B23" s="7" t="s">
        <v>25</v>
      </c>
      <c r="C23" s="6" t="n">
        <v>10</v>
      </c>
      <c r="D23" s="8" t="n">
        <v>9</v>
      </c>
      <c r="E23" s="8" t="n">
        <f aca="false">C23*D23</f>
        <v>90</v>
      </c>
    </row>
    <row r="24" customFormat="false" ht="15" hidden="false" customHeight="false" outlineLevel="0" collapsed="false">
      <c r="A24" s="3" t="n">
        <v>21</v>
      </c>
      <c r="B24" s="4" t="s">
        <v>26</v>
      </c>
      <c r="C24" s="3" t="n">
        <v>10</v>
      </c>
      <c r="D24" s="5" t="n">
        <v>12</v>
      </c>
      <c r="E24" s="5" t="n">
        <f aca="false">C24*D24</f>
        <v>120</v>
      </c>
    </row>
    <row r="25" customFormat="false" ht="15" hidden="false" customHeight="false" outlineLevel="0" collapsed="false">
      <c r="A25" s="6" t="n">
        <v>22</v>
      </c>
      <c r="B25" s="7" t="s">
        <v>27</v>
      </c>
      <c r="C25" s="6" t="n">
        <v>2</v>
      </c>
      <c r="D25" s="8" t="n">
        <v>200</v>
      </c>
      <c r="E25" s="8" t="n">
        <f aca="false">C25*D25</f>
        <v>400</v>
      </c>
    </row>
    <row r="26" customFormat="false" ht="15" hidden="false" customHeight="false" outlineLevel="0" collapsed="false">
      <c r="A26" s="3" t="n">
        <v>23</v>
      </c>
      <c r="B26" s="4" t="s">
        <v>28</v>
      </c>
      <c r="C26" s="3" t="n">
        <v>6</v>
      </c>
      <c r="D26" s="5" t="n">
        <v>20</v>
      </c>
      <c r="E26" s="5" t="n">
        <f aca="false">C26*D26</f>
        <v>120</v>
      </c>
    </row>
    <row r="27" customFormat="false" ht="15" hidden="false" customHeight="false" outlineLevel="0" collapsed="false">
      <c r="A27" s="6" t="n">
        <v>24</v>
      </c>
      <c r="B27" s="7" t="s">
        <v>29</v>
      </c>
      <c r="C27" s="6" t="n">
        <v>4</v>
      </c>
      <c r="D27" s="8" t="n">
        <v>6</v>
      </c>
      <c r="E27" s="8" t="n">
        <f aca="false">C27*D27</f>
        <v>24</v>
      </c>
    </row>
    <row r="28" customFormat="false" ht="15" hidden="false" customHeight="false" outlineLevel="0" collapsed="false">
      <c r="A28" s="9" t="s">
        <v>30</v>
      </c>
      <c r="B28" s="9"/>
      <c r="C28" s="9"/>
      <c r="D28" s="9"/>
      <c r="E28" s="10" t="n">
        <f aca="false">SUM(E4:E27)</f>
        <v>11244</v>
      </c>
    </row>
    <row r="29" customFormat="false" ht="15" hidden="false" customHeight="false" outlineLevel="0" collapsed="false">
      <c r="A29" s="9" t="s">
        <v>31</v>
      </c>
      <c r="B29" s="9"/>
      <c r="C29" s="9"/>
      <c r="D29" s="9"/>
      <c r="E29" s="10" t="n">
        <v>992</v>
      </c>
    </row>
    <row r="30" customFormat="false" ht="15" hidden="false" customHeight="false" outlineLevel="0" collapsed="false">
      <c r="A30" s="11" t="s">
        <v>32</v>
      </c>
      <c r="B30" s="11"/>
      <c r="C30" s="11"/>
      <c r="D30" s="11"/>
      <c r="E30" s="12" t="n">
        <f aca="false">E28+E29</f>
        <v>12236</v>
      </c>
    </row>
    <row r="31" customFormat="false" ht="15" hidden="false" customHeight="false" outlineLevel="0" collapsed="false">
      <c r="A31" s="13" t="s">
        <v>33</v>
      </c>
      <c r="B31" s="13"/>
      <c r="C31" s="13"/>
      <c r="D31" s="13"/>
      <c r="E31" s="14" t="str">
        <f aca="false">COUNTA(A4:A27) &amp; " items / " &amp; SUM(C4:C27) &amp; " units"</f>
        <v>24 items / 79 units</v>
      </c>
    </row>
  </sheetData>
  <mergeCells count="5">
    <mergeCell ref="A1:E1"/>
    <mergeCell ref="A28:D28"/>
    <mergeCell ref="A29:D29"/>
    <mergeCell ref="A30:D3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2026-08-15T18:55:38Z</dcterms:created>
  <dc:creator>openpyxl</dc:creator>
  <dc:description/>
  <dc:language>en-US</dc:language>
  <cp:lastModifiedBy/>
  <dcterms:modified xsi:type="dcterms:W3CDTF">2026-08-15T18:55:38Z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