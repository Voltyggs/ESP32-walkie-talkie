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Edited BOM" sheetId="1" r:id="rId1"/>
  </sheets>
  <calcPr fullPrecision="1" calcId="125725"/>
</workbook>
</file>

<file path=xl/sharedStrings.xml><?xml version="1.0" encoding="utf-8"?>
<sst xmlns="http://schemas.openxmlformats.org/spreadsheetml/2006/main" uniqueCount="37" count="37">
  <si>
    <t>BILL OF MATERIALS - EDITED CART</t>
  </si>
  <si>
    <t>#</t>
  </si>
  <si>
    <t>Item Description</t>
  </si>
  <si>
    <t>Quantity</t>
  </si>
  <si>
    <t>Unit Price (BDT)</t>
  </si>
  <si>
    <t>Line Total (BDT)</t>
  </si>
  <si>
    <t>Aliexpress cart</t>
  </si>
  <si>
    <t>VEROBOARD DOT TYPE</t>
  </si>
  <si>
    <t>https://share-a-cart.com/share/LZ457</t>
  </si>
  <si>
    <t>DESOLDERING BRAID SOLDER REMOVER WICK 3MM X 1.5M</t>
  </si>
  <si>
    <t>Total: 116.30 USD / 14259.18 BDT</t>
  </si>
  <si>
    <t>MT3608 2A MAX DC-DC STEP UP BOOSTER POWER MODULE</t>
  </si>
  <si>
    <t>18650 LITHIUM BATTERY CHARGER USB TYPE-C</t>
  </si>
  <si>
    <t>18650 GENERIC 3.7V LI-ION BATTERY - BUTTON TOP</t>
  </si>
  <si>
    <t>MALE TO MALE JUMPER WIRES 40 PIN 30CM</t>
  </si>
  <si>
    <t>FEMALE TO FEMALE JUMPER WIRES 40 PIN 30CM</t>
  </si>
  <si>
    <t>1 METER ELECTRICAL FLEXIBLE CABLE/WIRE - GREEN</t>
  </si>
  <si>
    <t>1 METER ELECTRICAL FLEXIBLE CABLE/WIRE - BLUE</t>
  </si>
  <si>
    <t>1 METER ELECTRICAL FLEXIBLE CABLE/WIRE - YELLOW</t>
  </si>
  <si>
    <t>1 METER ELECTRICAL FLEXIBLE CABLE/WIRE - GREY</t>
  </si>
  <si>
    <t>3 WATT 8 OHM MINI SPEAKER FOR ELECTRONICS PROJECT WITH JST-PH2.0 INTERFACE</t>
  </si>
  <si>
    <t>12 X 12MM TACT TACTILE SWITCHES CAP ROUND PUSH BUTTON COVER</t>
  </si>
  <si>
    <t>MOMENTARY TACTILE PUSH BUTTON SWITCH 12 X 12MM X 12MM</t>
  </si>
  <si>
    <t>PREMIUM 60/40 SN PB TIN SOLDERING LEAD WITH ROSIN 20G LOW MELTING POINT</t>
  </si>
  <si>
    <t>2.4GHZ DUCK ANTENNA RP-SMA - 7.75 INCH MALE</t>
  </si>
  <si>
    <t>MAX98357A I2S DAC CLASS D MONO AMPLIFIER MODULE</t>
  </si>
  <si>
    <t>ESP32 WROOM-32U CP2102 DEVELOPMENT BOARD MICRO USB</t>
  </si>
  <si>
    <t>INMP441 OMNIDIRECTIONAL MICROPHONE MODULE ORIGINAL</t>
  </si>
  <si>
    <t>5X5X7MM SQUARE HEAD RED LED</t>
  </si>
  <si>
    <t>3300UF 16V ELECTROLYTIC CAPACITOR</t>
  </si>
  <si>
    <t>RP-SMA TO U.FL ADAPTER RF CABLE - FEMALE 150MM</t>
  </si>
  <si>
    <t>FEMALE PIN HEADER 2.54MM PITCH - WHITE</t>
  </si>
  <si>
    <t>ROCKER SWITCH KCD11 ON/OFF SWITCH (MINI) RED</t>
  </si>
  <si>
    <t>SUBTOTAL (ITEMS)</t>
  </si>
  <si>
    <t>SHIPPING FEE</t>
  </si>
  <si>
    <t>GRAND TOTAL</t>
  </si>
  <si>
    <t>TOTAL USD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</si>
</sst>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7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6"/>
      <color rgb="FFFFFFFF"/>
      <name val="Arial"/>
      <charset val="0"/>
    </font>
    <font>
      <b/>
      <sz val="11"/>
      <color rgb="FFFFFFFF"/>
      <name val="Arial"/>
      <charset val="0"/>
    </font>
    <font>
      <b/>
      <sz val="18"/>
      <color rgb="FFFFFFFF"/>
      <name val="Calibri"/>
      <charset val="0"/>
    </font>
    <font>
      <sz val="10"/>
      <name val="Arial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  <font>
      <u val="single"/>
      <sz val="11"/>
      <color rgb="FF551A8B"/>
      <name val="Calibri"/>
      <charset val="0"/>
    </font>
    <font>
      <sz val="11"/>
      <color rgb="FFFFFFFF"/>
      <name val="Calibri"/>
      <charset val="0"/>
    </font>
    <font>
      <b/>
      <sz val="10"/>
      <name val="Arial"/>
      <charset val="0"/>
    </font>
    <font>
      <b/>
      <sz val="11"/>
      <name val="Arial"/>
      <charset val="0"/>
    </font>
    <font>
      <b/>
      <sz val="9"/>
      <name val="Arial"/>
      <charset val="0"/>
    </font>
    <font>
      <b/>
      <sz val="11"/>
      <name val="Calibri"/>
      <charset val="0"/>
    </font>
  </fonts>
  <fills count="6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203864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4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  <xf numFmtId="0" fontId="10" fillId="0" borderId="0" applyAlignment="0" applyBorder="0" applyNumberFormat="0" applyFill="0" applyProtection="0"/>
  </cellStyleXfs>
  <cellXfs>
    <xf numFmtId="0" fontId="0" fillId="0" borderId="0" xfId="0"/>
    <xf numFmtId="0" fontId="5" fillId="2" borderId="0" xfId="0" applyAlignment="1" applyFont="1" applyFill="1">
      <alignment horizontal="center" vertical="center"/>
    </xf>
    <xf numFmtId="0" fontId="6" fillId="3" borderId="1" xfId="0" applyAlignment="1" applyBorder="1" applyFont="1" applyFill="1">
      <alignment horizontal="center" vertical="center" wrapText="1"/>
    </xf>
    <xf numFmtId="0" fontId="7" fillId="3" borderId="0" xfId="0" applyAlignment="1" applyFont="1" applyFill="1">
      <alignment horizontal="center" vertical="center"/>
    </xf>
    <xf numFmtId="0" fontId="8" fillId="4" borderId="1" xfId="0" applyAlignment="1" applyBorder="1" applyFont="1" applyFill="1">
      <alignment horizontal="center"/>
    </xf>
    <xf numFmtId="0" fontId="8" fillId="4" borderId="1" xfId="0" applyAlignment="1" applyBorder="1" applyFont="1" applyFill="1">
      <alignment horizontal="left" vertical="center" wrapText="1"/>
    </xf>
    <xf numFmtId="3" fontId="8" fillId="4" borderId="1" xfId="0" applyAlignment="1" applyBorder="1" applyFont="1" applyNumberFormat="1" applyFill="1">
      <alignment horizontal="right"/>
    </xf>
    <xf numFmtId="0" fontId="10" fillId="0" borderId="0" xfId="22" applyAlignment="1" applyBorder="1" applyFont="1" applyNumberFormat="1" applyFill="1" applyProtection="1"/>
    <xf numFmtId="0" fontId="11" fillId="4" borderId="0" xfId="22" applyAlignment="1" applyBorder="1" applyFont="1" applyNumberFormat="1" applyFill="1" applyProtection="1"/>
    <xf numFmtId="0" fontId="0" fillId="4" borderId="0" xfId="0" applyFill="1"/>
    <xf numFmtId="0" fontId="8" fillId="0" borderId="1" xfId="0" applyAlignment="1" applyBorder="1" applyFont="1">
      <alignment horizontal="center"/>
    </xf>
    <xf numFmtId="0" fontId="8" fillId="0" borderId="1" xfId="0" applyAlignment="1" applyBorder="1" applyFont="1">
      <alignment horizontal="left" vertical="center" wrapText="1"/>
    </xf>
    <xf numFmtId="3" fontId="8" fillId="0" borderId="1" xfId="0" applyAlignment="1" applyBorder="1" applyFont="1" applyNumberFormat="1">
      <alignment horizontal="right"/>
    </xf>
    <xf numFmtId="0" fontId="12" fillId="0" borderId="0" xfId="0" applyFont="1"/>
    <xf numFmtId="0" fontId="13" fillId="0" borderId="1" xfId="0" applyAlignment="1" applyBorder="1" applyFont="1">
      <alignment horizontal="right" vertical="center"/>
    </xf>
    <xf numFmtId="3" fontId="13" fillId="0" borderId="1" xfId="0" applyAlignment="1" applyBorder="1" applyFont="1" applyNumberFormat="1">
      <alignment horizontal="right"/>
    </xf>
    <xf numFmtId="0" fontId="13" fillId="5" borderId="1" xfId="0" applyAlignment="1" applyBorder="1" applyFont="1" applyFill="1">
      <alignment horizontal="right" vertical="center"/>
    </xf>
    <xf numFmtId="3" fontId="14" fillId="5" borderId="1" xfId="0" applyAlignment="1" applyBorder="1" applyFont="1" applyNumberFormat="1" applyFill="1">
      <alignment horizontal="right"/>
    </xf>
    <xf numFmtId="0" fontId="15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6" fillId="0" borderId="0" xfId="0" applyFont="1"/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dited BOMLockedColumnStyle" xfId="20"/>
    <cellStyle name="Edited BOMUnLockedColumnStyle" xfId="21"/>
    <cellStyle name="Hyperlink" xfId="22" builtinId="8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share-a-cart.com/share/LZ457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K32"/>
  <sheetViews>
    <sheetView topLeftCell="A1" view="normal" tabSelected="1" workbookViewId="0">
      <pane ySplit="3" topLeftCell="A4" activePane="bottomLeft" state="frozen"/>
      <selection pane="bottomLeft" activeCell="A4" sqref="A4"/>
    </sheetView>
  </sheetViews>
  <sheetFormatPr customHeight="true" defaultRowHeight="15"/>
  <cols>
    <col min="1" max="1" width="5" customWidth="1"/>
    <col min="2" max="2" width="55" customWidth="1"/>
    <col min="3" max="3" width="10" customWidth="1"/>
    <col min="4" max="5" width="16" customWidth="1"/>
  </cols>
  <sheetData>
    <row r="1" spans="1:5" ht="27.75" customHeight="1">
      <c r="A1" s="1" t="s">
        <v>0</v>
      </c>
      <c r="B1" s="1"/>
      <c r="C1" s="1"/>
      <c r="D1" s="1"/>
      <c r="E1" s="1"/>
    </row>
    <row r="3" spans="1:10" ht="23.2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3" t="s">
        <v>6</v>
      </c>
      <c r="G3" s="3"/>
      <c r="H3" s="3"/>
      <c r="I3" s="3"/>
      <c r="J3" s="3"/>
    </row>
    <row r="4" spans="1:9" ht="28.5" customHeight="1">
      <c r="A4" s="4">
        <v>1</v>
      </c>
      <c r="B4" s="5" t="s">
        <v>7</v>
      </c>
      <c r="C4" s="4">
        <v>6</v>
      </c>
      <c r="D4" s="6">
        <v>45</v>
      </c>
      <c r="E4" s="6">
        <f ca="1">C4*D4</f>
        <v>0</v>
      </c>
      <c r="F4" s="8" t="s">
        <v>8</v>
      </c>
      <c r="G4" s="9"/>
      <c r="H4" s="9"/>
      <c r="I4" s="9"/>
    </row>
    <row r="5" spans="1:6" ht="26.25" customHeight="1">
      <c r="A5" s="10">
        <v>2</v>
      </c>
      <c r="B5" s="11" t="s">
        <v>9</v>
      </c>
      <c r="C5" s="10">
        <v>1</v>
      </c>
      <c r="D5" s="12">
        <v>280</v>
      </c>
      <c r="E5" s="12">
        <f ca="1">C5*D5</f>
        <v>0</v>
      </c>
      <c r="F5" t="s">
        <v>10</v>
      </c>
    </row>
    <row r="6" spans="1:11" ht="26.25" customHeight="1">
      <c r="A6" s="4">
        <v>3</v>
      </c>
      <c r="B6" s="5" t="s">
        <v>11</v>
      </c>
      <c r="C6" s="4">
        <v>4</v>
      </c>
      <c r="D6" s="6">
        <v>160</v>
      </c>
      <c r="E6" s="6">
        <f ca="1">C6*D6</f>
        <v>0</v>
      </c>
      <c r="K6" s="13"/>
    </row>
    <row r="7" spans="1:5">
      <c r="A7" s="10">
        <v>4</v>
      </c>
      <c r="B7" s="11" t="s">
        <v>12</v>
      </c>
      <c r="C7" s="10">
        <v>4</v>
      </c>
      <c r="D7" s="12">
        <v>170</v>
      </c>
      <c r="E7" s="12">
        <f ca="1">C7*D7</f>
        <v>0</v>
      </c>
    </row>
    <row r="8" spans="1:5">
      <c r="A8" s="4">
        <v>5</v>
      </c>
      <c r="B8" s="5" t="s">
        <v>13</v>
      </c>
      <c r="C8" s="4">
        <v>4</v>
      </c>
      <c r="D8" s="6">
        <v>170</v>
      </c>
      <c r="E8" s="6">
        <f ca="1">C8*D8</f>
        <v>0</v>
      </c>
    </row>
    <row r="9" spans="1:5">
      <c r="A9" s="10">
        <v>6</v>
      </c>
      <c r="B9" s="11" t="s">
        <v>14</v>
      </c>
      <c r="C9" s="10">
        <v>2</v>
      </c>
      <c r="D9" s="12">
        <v>160</v>
      </c>
      <c r="E9" s="12">
        <f ca="1">C9*D9</f>
        <v>0</v>
      </c>
    </row>
    <row r="10" spans="1:5">
      <c r="A10" s="4">
        <v>7</v>
      </c>
      <c r="B10" s="5" t="s">
        <v>15</v>
      </c>
      <c r="C10" s="4">
        <v>2</v>
      </c>
      <c r="D10" s="6">
        <v>140</v>
      </c>
      <c r="E10" s="6">
        <f ca="1">C10*D10</f>
        <v>0</v>
      </c>
    </row>
    <row r="11" spans="1:5">
      <c r="A11" s="10">
        <v>8</v>
      </c>
      <c r="B11" s="11" t="s">
        <v>16</v>
      </c>
      <c r="C11" s="10">
        <v>2</v>
      </c>
      <c r="D11" s="12">
        <v>25</v>
      </c>
      <c r="E11" s="12">
        <f ca="1">C11*D11</f>
        <v>0</v>
      </c>
    </row>
    <row r="12" spans="1:5">
      <c r="A12" s="4">
        <v>9</v>
      </c>
      <c r="B12" s="5" t="s">
        <v>17</v>
      </c>
      <c r="C12" s="4">
        <v>2</v>
      </c>
      <c r="D12" s="6">
        <v>28</v>
      </c>
      <c r="E12" s="6">
        <f ca="1">C12*D12</f>
        <v>0</v>
      </c>
    </row>
    <row r="13" spans="1:5" ht="26.25" customHeight="1">
      <c r="A13" s="10">
        <v>10</v>
      </c>
      <c r="B13" s="11" t="s">
        <v>18</v>
      </c>
      <c r="C13" s="10">
        <v>2</v>
      </c>
      <c r="D13" s="12">
        <v>28</v>
      </c>
      <c r="E13" s="12">
        <f ca="1">C13*D13</f>
        <v>0</v>
      </c>
    </row>
    <row r="14" spans="1:5">
      <c r="A14" s="4">
        <v>11</v>
      </c>
      <c r="B14" s="5" t="s">
        <v>19</v>
      </c>
      <c r="C14" s="4">
        <v>2</v>
      </c>
      <c r="D14" s="6">
        <v>28</v>
      </c>
      <c r="E14" s="6">
        <f ca="1">C14*D14</f>
        <v>0</v>
      </c>
    </row>
    <row r="15" spans="1:5" ht="23.85" customHeight="1">
      <c r="A15" s="10">
        <v>12</v>
      </c>
      <c r="B15" s="11" t="s">
        <v>20</v>
      </c>
      <c r="C15" s="10">
        <v>2</v>
      </c>
      <c r="D15" s="12">
        <v>350</v>
      </c>
      <c r="E15" s="12">
        <f ca="1">C15*D15</f>
        <v>0</v>
      </c>
    </row>
    <row r="16" spans="1:5" ht="23.85" customHeight="1">
      <c r="A16" s="4">
        <v>13</v>
      </c>
      <c r="B16" s="5" t="s">
        <v>21</v>
      </c>
      <c r="C16" s="4">
        <v>2</v>
      </c>
      <c r="D16" s="6">
        <v>5</v>
      </c>
      <c r="E16" s="6">
        <f ca="1">C16*D16</f>
        <v>0</v>
      </c>
    </row>
    <row r="17" spans="1:5" ht="23.85" customHeight="1">
      <c r="A17" s="10">
        <v>14</v>
      </c>
      <c r="B17" s="11" t="s">
        <v>22</v>
      </c>
      <c r="C17" s="10">
        <v>2</v>
      </c>
      <c r="D17" s="12">
        <v>11</v>
      </c>
      <c r="E17" s="12">
        <f ca="1">C17*D17</f>
        <v>0</v>
      </c>
    </row>
    <row r="18" spans="1:5" ht="23.85" customHeight="1">
      <c r="A18" s="4">
        <v>15</v>
      </c>
      <c r="B18" s="5" t="s">
        <v>23</v>
      </c>
      <c r="C18" s="4">
        <v>2</v>
      </c>
      <c r="D18" s="6">
        <v>145</v>
      </c>
      <c r="E18" s="6">
        <f ca="1">C18*D18</f>
        <v>0</v>
      </c>
    </row>
    <row r="19" spans="1:5">
      <c r="A19" s="10">
        <v>16</v>
      </c>
      <c r="B19" s="11" t="s">
        <v>24</v>
      </c>
      <c r="C19" s="10">
        <v>2</v>
      </c>
      <c r="D19" s="12">
        <v>350</v>
      </c>
      <c r="E19" s="12">
        <f ca="1">C19*D19</f>
        <v>0</v>
      </c>
    </row>
    <row r="20" spans="1:5" ht="26.25" customHeight="1">
      <c r="A20" s="4">
        <v>17</v>
      </c>
      <c r="B20" s="5" t="s">
        <v>25</v>
      </c>
      <c r="C20" s="4">
        <v>2</v>
      </c>
      <c r="D20" s="6">
        <v>750</v>
      </c>
      <c r="E20" s="6">
        <f ca="1">C20*D20</f>
        <v>0</v>
      </c>
    </row>
    <row r="21" spans="1:5" ht="23.85" customHeight="1">
      <c r="A21" s="10">
        <v>18</v>
      </c>
      <c r="B21" s="11" t="s">
        <v>26</v>
      </c>
      <c r="C21" s="10">
        <v>2</v>
      </c>
      <c r="D21" s="12">
        <v>1050</v>
      </c>
      <c r="E21" s="12">
        <f ca="1">C21*D21</f>
        <v>0</v>
      </c>
    </row>
    <row r="22" spans="1:5" ht="23.85" customHeight="1">
      <c r="A22" s="4">
        <v>19</v>
      </c>
      <c r="B22" s="5" t="s">
        <v>27</v>
      </c>
      <c r="C22" s="4">
        <v>2</v>
      </c>
      <c r="D22" s="6">
        <v>900</v>
      </c>
      <c r="E22" s="6">
        <f ca="1">C22*D22</f>
        <v>0</v>
      </c>
    </row>
    <row r="23" spans="1:5">
      <c r="A23" s="10">
        <v>20</v>
      </c>
      <c r="B23" s="11" t="s">
        <v>28</v>
      </c>
      <c r="C23" s="10">
        <v>10</v>
      </c>
      <c r="D23" s="12">
        <v>9</v>
      </c>
      <c r="E23" s="12">
        <f ca="1">C23*D23</f>
        <v>0</v>
      </c>
    </row>
    <row r="24" spans="1:5">
      <c r="A24" s="4">
        <v>21</v>
      </c>
      <c r="B24" s="5" t="s">
        <v>29</v>
      </c>
      <c r="C24" s="4">
        <v>10</v>
      </c>
      <c r="D24" s="6">
        <v>12</v>
      </c>
      <c r="E24" s="6">
        <f ca="1">C24*D24</f>
        <v>0</v>
      </c>
    </row>
    <row r="25" spans="1:5">
      <c r="A25" s="10">
        <v>22</v>
      </c>
      <c r="B25" s="11" t="s">
        <v>30</v>
      </c>
      <c r="C25" s="10">
        <v>2</v>
      </c>
      <c r="D25" s="12">
        <v>200</v>
      </c>
      <c r="E25" s="12">
        <f ca="1">C25*D25</f>
        <v>0</v>
      </c>
    </row>
    <row r="26" spans="1:5">
      <c r="A26" s="4">
        <v>23</v>
      </c>
      <c r="B26" s="5" t="s">
        <v>31</v>
      </c>
      <c r="C26" s="4">
        <v>6</v>
      </c>
      <c r="D26" s="6">
        <v>20</v>
      </c>
      <c r="E26" s="6">
        <f ca="1">C26*D26</f>
        <v>0</v>
      </c>
    </row>
    <row r="27" spans="1:5">
      <c r="A27" s="10">
        <v>24</v>
      </c>
      <c r="B27" s="11" t="s">
        <v>32</v>
      </c>
      <c r="C27" s="10">
        <v>4</v>
      </c>
      <c r="D27" s="12">
        <v>6</v>
      </c>
      <c r="E27" s="12">
        <f ca="1">C27*D27</f>
        <v>0</v>
      </c>
    </row>
    <row r="28" spans="1:5">
      <c r="A28" s="14" t="s">
        <v>33</v>
      </c>
      <c r="B28" s="14"/>
      <c r="C28" s="14"/>
      <c r="D28" s="14"/>
      <c r="E28" s="15">
        <f ca="1">SUM(E4:E27)</f>
        <v>0</v>
      </c>
    </row>
    <row r="29" spans="1:5">
      <c r="A29" s="14" t="s">
        <v>34</v>
      </c>
      <c r="B29" s="14"/>
      <c r="C29" s="14"/>
      <c r="D29" s="14"/>
      <c r="E29" s="15">
        <v>992</v>
      </c>
    </row>
    <row r="30" spans="1:5">
      <c r="A30" s="16" t="s">
        <v>35</v>
      </c>
      <c r="B30" s="16"/>
      <c r="C30" s="16"/>
      <c r="D30" s="16"/>
      <c r="E30" s="17">
        <f ca="1">E28+E29</f>
        <v>0</v>
      </c>
    </row>
    <row r="31" spans="1:5">
      <c r="A31" s="18" t="s">
        <v>36</v>
      </c>
      <c r="B31" s="18"/>
      <c r="C31" s="18"/>
      <c r="D31" s="18"/>
      <c r="E31" s="19">
        <v>105</v>
      </c>
    </row>
    <row r="32" spans="5:5">
      <c r="E32" s="20"/>
    </row>
  </sheetData>
  <mergeCells count="8">
    <mergeCell ref="A1:E1"/>
    <mergeCell ref="F3:J3"/>
    <mergeCell ref="F4:I4"/>
    <mergeCell ref="F5:I5"/>
    <mergeCell ref="A28:D28"/>
    <mergeCell ref="A29:D29"/>
    <mergeCell ref="A30:D30"/>
    <mergeCell ref="A31:D31"/>
  </mergeCells>
  <hyperlinks>
    <hyperlink ref="F4" r:id="rId1" display="https://share-a-cart.com/share/LZ457"/>
  </hyperlink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wp0sdwk0001AR$</dc:creator>
  <dcterms:created xsi:type="dcterms:W3CDTF">2026-08-15T19:38:36Z</dcterms:created>
  <dcterms:modified xsi:type="dcterms:W3CDTF">2026-08-15T19:38:36Z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