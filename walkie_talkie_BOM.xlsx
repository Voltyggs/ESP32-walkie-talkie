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(Clean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<sst xmlns="http://schemas.openxmlformats.org/spreadsheetml/2006/main" count="45" uniqueCount="43">
  <si>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BILL OF MATERIALS — WALKIE TALKIE PROJECT</t>
  </si>
  <si>
    <t xml:space="preserve">#</t>
  </si>
  <si>
    <t xml:space="preserve">Item Description</t>
  </si>
  <si>
    <t xml:space="preserve">Quantity</t>
  </si>
  <si>
    <t xml:space="preserve">Total Price (USD)</t>
  </si>
  <si>
    <t xml:space="preserve">Aliexpress Link</t>
  </si>
  <si>
    <t xml:space="preserve">VEROBOARD DOT TYPE</t>
  </si>
  <si>
    <t xml:space="preserve">https://www.aliexpress.com/item/1005012158303665.html?gatewayAdapt=4itemAdapt</t>
  </si>
  <si>
    <t xml:space="preserve">MT3608 2A MAX DC-DC STEP UP BOOSTER POWER MODULE</t>
  </si>
  <si>
    <t xml:space="preserve">5 (bundle)</t>
  </si>
  <si>
    <t xml:space="preserve">https://www.aliexpress.com/item/1005012158271211.html?gatewayAdapt=4itemAdapt</t>
  </si>
  <si>
    <t xml:space="preserve">18650 LITHIUM BATTERY CHARGER USB TYPE-C</t>
  </si>
  <si>
    <t xml:space="preserve">https://www.aliexpress.com/item/1005012023753266.html?spm=a2g0o.productlist.main.1.42ac4f00uRRwVf&amp;algo_pvid=6ee235e1-9a38-4e73-b1bb-3e87314466f7&amp;pdp_ext_f=%7B%22order%22%3A%22755%22%2C%22eval%22%3A%221%22%2C%22fromPage%22%3A%22search%22%7D&amp;utparam-url=scene%3Asearch%7Cquery_from%3A%7Cx_object_id%3A1005012023753266%7C_p_origin_prod%3A</t>
  </si>
  <si>
    <t xml:space="preserve">18650 GENERIC 3.7V LI-ION BATTERY - BUTTON TOP</t>
  </si>
  <si>
    <t xml:space="preserve">https://www.aliexpress.com/item/1005012946452793.html?spm=a2g0o.productlist.main.7.421159c1FjjpDz&amp;algo_pvid=14c993d8-b0ae-4c1f-b862-66f72ee5c869&amp;pdp_ext_f=%7B%22order%22%3A%221%22%2C%22eval%22%3A%221%22%2C%22fromPage%22%3A%22search%22%7D&amp;utparam-url=scene%3Asearch%7Cquery_from%3A%7Cx_object_id%3A1005012946452793%7C_p_origin_prod%3A</t>
  </si>
  <si>
    <t xml:space="preserve">MALE TO MALE JUMPER WIRES 40 PIN 30CM</t>
  </si>
  <si>
    <t xml:space="preserve">https://www.aliexpress.com/item/1005009741771008.html?gatewayAdapt=4itemAdapt</t>
  </si>
  <si>
    <t xml:space="preserve">3 WATT 8 OHM MINI SPEAKER FOR ELECTRONICS PROJECT WITH JST-PH2.0 INTERFACE</t>
  </si>
  <si>
    <t xml:space="preserve">https://www.aliexpress.com/item/1005005699690954.html?spm=a2g0o.productlist.main.3.559b24MB24MBGn&amp;algo_pvid=b55ab0da-4b09-4499-87a2-01cbb0ad6a3c&amp;pdp_ext_f=%7B%22order%22%3A%227764%22%2C%22spu_best_type%22%3A%22price%22%2C%22eval%22%3A%221%22%2C%22fromPage%22%3A%22search%22%7D&amp;utparam-url=scene%3Asearch%7Cquery_from%3A%7Cx_object_id%3A1005005699690954%7C_p_origin_prod%3A</t>
  </si>
  <si>
    <t xml:space="preserve">MOMENTARY TACTILE PUSH BUTTON SWITCH 12 X 12MM X 12MM</t>
  </si>
  <si>
    <t xml:space="preserve">20 (bundle)</t>
  </si>
  <si>
    <t xml:space="preserve">https://www.aliexpress.com/item/4000278832965.html?gatewayAdapt=4itemAdapt</t>
  </si>
  <si>
    <t xml:space="preserve">2.4GHZ DUCK ANTENNA RP-SMA - 7.75 INCH MALE</t>
  </si>
  <si>
    <t xml:space="preserve">https://www.aliexpress.com/item/32787855982.html?gatewayAdapt=4itemAdapt</t>
  </si>
  <si>
    <t xml:space="preserve">MAX98357A I2S DAC CLASS D MONO AMPLIFIER MODULE</t>
  </si>
  <si>
    <t xml:space="preserve">https://www.aliexpress.com/item/3256810087074008.html</t>
  </si>
  <si>
    <t xml:space="preserve">ESP32 WROOM-32U CP2102 DEVELOPMENT BOARD MICRO USB</t>
  </si>
  <si>
    <t xml:space="preserve">https://www.aliexpress.com/item/1005009640200327.html?gatewayAdapt=4itemAdapt</t>
  </si>
  <si>
    <t xml:space="preserve">INMP441 OMNIDIRECTIONAL MICROPHONE MODULE ORIGINAL</t>
  </si>
  <si>
    <t xml:space="preserve">https://www.aliexpress.com/item/1005012438620524.html?gatewayAdapt=4itemAdapt</t>
  </si>
  <si>
    <t xml:space="preserve">3300UF 16V ELECTROLYTIC CAPACITOR</t>
  </si>
  <si>
    <t xml:space="preserve">10 (bundle)</t>
  </si>
  <si>
    <t xml:space="preserve">https://www.aliexpress.com/item/1005001627492009.html?gatewayAdapt=4itemAdapt</t>
  </si>
  <si>
    <t xml:space="preserve">RP-SMA TO U.FL ADAPTER RF CABLE - FEMALE 150MM</t>
  </si>
  <si>
    <t xml:space="preserve">2 (bundle)</t>
  </si>
  <si>
    <t xml:space="preserve">https://www.aliexpress.com/item/1005009270045616.html?gatewayAdapt=4itemAdapt</t>
  </si>
  <si>
    <t xml:space="preserve">ROCKER SWITCH KCD11 ON/OFF SWITCH (MINI) RED</t>
  </si>
  <si>
    <t xml:space="preserve">https://www.aliexpress.com/item/1005009323738855.html?gatewayAdapt=4itemAdapt</t>
  </si>
  <si>
    <t xml:space="preserve">SOLDER WIRE</t>
  </si>
  <si>
    <t xml:space="preserve">https://www.aliexpress.com/item/1005008563576114.html</t>
  </si>
  <si>
    <t xml:space="preserve">5MM RED LED (PACK OF 5)</t>
  </si>
  <si>
    <t xml:space="preserve">https://www.aliexpress.com/item/1005012080380940.html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</si>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</sst>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1F4E78"/>
      </patternFill>
    </fill>
    <fill>
      <patternFill patternType="solid">
        <fgColor rgb="FF1F4E78"/>
        <bgColor rgb="FF203864"/>
      </patternFill>
    </fill>
    <fill>
      <patternFill patternType="solid">
        <fgColor rgb="FFF2F6FB"/>
        <bgColor rgb="FFFFFFFF"/>
      </patternFill>
    </fill>
    <fill>
      <patternFill patternType="solid">
        <fgColor rgb="FFD9E1F2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A"/>
      </left>
      <right style="thin">
        <color rgb="FFB7C6DA"/>
      </right>
      <top style="thin">
        <color rgb="FFB7C6DA"/>
      </top>
      <bottom style="thin">
        <color rgb="FFB7C6DA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dited BOMLockedColumnStyle" xfId="20"/>
    <cellStyle name="Edited BOMUnLockedColumnStyle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A"/>
      <rgbColor rgb="FF808080"/>
      <rgbColor rgb="FF9999FF"/>
      <rgbColor rgb="FF993366"/>
      <rgbColor rgb="FFF2F6FB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com/item/1005012158303665.html?gatewayAdapt=4itemAdapt" TargetMode="External"/><Relationship Id="rId2" Type="http://schemas.openxmlformats.org/officeDocument/2006/relationships/hyperlink" Target="https://www.aliexpress.com/item/1005012158271211.html?gatewayAdapt=4itemAdapt" TargetMode="External"/><Relationship Id="rId3" Type="http://schemas.openxmlformats.org/officeDocument/2006/relationships/hyperlink" Target="https://www.aliexpress.com/item/1005012023753266.html?spm=a2g0o.productlist.main.1.42ac4f00uRRwVf&amp;algo_pvid=6ee235e1-9a38-4e73-b1bb-3e87314466f7&amp;pdp_ext_f=%7B%22order%22%3A%22755%22%2C%22eval%22%3A%221%22%2C%22fromPage%22%3A%22search%22%7D&amp;utparam-url=sce" TargetMode="External"/><Relationship Id="rId4" Type="http://schemas.openxmlformats.org/officeDocument/2006/relationships/hyperlink" Target="https://www.aliexpress.com/item/1005012946452793.html?spm=a2g0o.productlist.main.7.421159c1FjjpDz&amp;algo_pvid=14c993d8-b0ae-4c1f-b862-66f72ee5c869&amp;pdp_ext_f=%7B%22order%22%3A%221%22%2C%22eval%22%3A%221%22%2C%22fromPage%22%3A%22search%22%7D&amp;utparam-url=scene" TargetMode="External"/><Relationship Id="rId5" Type="http://schemas.openxmlformats.org/officeDocument/2006/relationships/hyperlink" Target="https://www.aliexpress.com/item/1005009741771008.html?gatewayAdapt=4itemAdapt" TargetMode="External"/><Relationship Id="rId6" Type="http://schemas.openxmlformats.org/officeDocument/2006/relationships/hyperlink" Target="https://www.aliexpress.com/item/1005005699690954.html?spm=a2g0o.productlist.main.3.559b24MB24MBGn&amp;algo_pvid=b55ab0da-4b09-4499-87a2-01cbb0ad6a3c&amp;pdp_ext_f=%7B%22order%22%3A%227764%22%2C%22spu_best_type%22%3A%22price%22%2C%22eval%22%3A%221%22%2C%22fromPage" TargetMode="External"/><Relationship Id="rId7" Type="http://schemas.openxmlformats.org/officeDocument/2006/relationships/hyperlink" Target="https://www.aliexpress.com/item/4000278832965.html?gatewayAdapt=4itemAdapt" TargetMode="External"/><Relationship Id="rId8" Type="http://schemas.openxmlformats.org/officeDocument/2006/relationships/hyperlink" Target="https://www.aliexpress.com/item/32787855982.html?gatewayAdapt=4itemAdapt" TargetMode="External"/><Relationship Id="rId9" Type="http://schemas.openxmlformats.org/officeDocument/2006/relationships/hyperlink" Target="https://www.aliexpress.com/item/3256810087074008.html" TargetMode="External"/><Relationship Id="rId10" Type="http://schemas.openxmlformats.org/officeDocument/2006/relationships/hyperlink" Target="https://www.aliexpress.com/item/1005009640200327.html?gatewayAdapt=4itemAdapt" TargetMode="External"/><Relationship Id="rId11" Type="http://schemas.openxmlformats.org/officeDocument/2006/relationships/hyperlink" Target="https://www.aliexpress.com/item/1005012438620524.html?gatewayAdapt=4itemAdapt" TargetMode="External"/><Relationship Id="rId12" Type="http://schemas.openxmlformats.org/officeDocument/2006/relationships/hyperlink" Target="https://www.aliexpress.com/item/1005001627492009.html?gatewayAdapt=4itemAdapt" TargetMode="External"/><Relationship Id="rId13" Type="http://schemas.openxmlformats.org/officeDocument/2006/relationships/hyperlink" Target="https://www.aliexpress.com/item/1005009270045616.html?gatewayAdapt=4itemAdapt" TargetMode="External"/><Relationship Id="rId14" Type="http://schemas.openxmlformats.org/officeDocument/2006/relationships/hyperlink" Target="https://www.aliexpress.com/item/1005009323738855.html?gatewayAdapt=4itemAdap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5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3" customFormat="false" ht="19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 t="n">
        <v>1</v>
      </c>
      <c r="B4" s="5" t="s">
        <v>6</v>
      </c>
      <c r="C4" s="4" t="n">
        <v>6</v>
      </c>
      <c r="D4" s="6" t="n">
        <f aca="false">ROUNDDOWN(0.61*6,0)</f>
        <v>3</v>
      </c>
      <c r="E4" s="7" t="s">
        <v>7</v>
      </c>
    </row>
    <row r="5" customFormat="false" ht="15" hidden="false" customHeight="true" outlineLevel="0" collapsed="false">
      <c r="A5" s="8" t="n">
        <v>2</v>
      </c>
      <c r="B5" s="9" t="s">
        <v>8</v>
      </c>
      <c r="C5" s="8" t="s">
        <v>9</v>
      </c>
      <c r="D5" s="10" t="n">
        <f aca="false">ROUNDDOWN(6,0)</f>
        <v>6</v>
      </c>
      <c r="E5" s="11" t="s">
        <v>10</v>
      </c>
    </row>
    <row r="6" customFormat="false" ht="15" hidden="false" customHeight="true" outlineLevel="0" collapsed="false">
      <c r="A6" s="4" t="n">
        <v>3</v>
      </c>
      <c r="B6" s="5" t="s">
        <v>11</v>
      </c>
      <c r="C6" s="4" t="s">
        <v>9</v>
      </c>
      <c r="D6" s="6" t="n">
        <f aca="false">ROUNDDOWN(4.38,0)</f>
        <v>4</v>
      </c>
      <c r="E6" s="7" t="s">
        <v>12</v>
      </c>
    </row>
    <row r="7" customFormat="false" ht="15" hidden="false" customHeight="true" outlineLevel="0" collapsed="false">
      <c r="A7" s="8" t="n">
        <v>4</v>
      </c>
      <c r="B7" s="9" t="s">
        <v>13</v>
      </c>
      <c r="C7" s="8" t="n">
        <v>4</v>
      </c>
      <c r="D7" s="10" t="n">
        <f aca="false">ROUNDDOWN(11.37,0)</f>
        <v>11</v>
      </c>
      <c r="E7" s="11" t="s">
        <v>14</v>
      </c>
    </row>
    <row r="8" customFormat="false" ht="15" hidden="false" customHeight="true" outlineLevel="0" collapsed="false">
      <c r="A8" s="4" t="n">
        <v>5</v>
      </c>
      <c r="B8" s="5" t="s">
        <v>15</v>
      </c>
      <c r="C8" s="4" t="n">
        <v>2</v>
      </c>
      <c r="D8" s="6" t="n">
        <f aca="false">ROUNDDOWN(8,0)</f>
        <v>8</v>
      </c>
      <c r="E8" s="7" t="s">
        <v>16</v>
      </c>
    </row>
    <row r="9" customFormat="false" ht="15" hidden="false" customHeight="true" outlineLevel="0" collapsed="false">
      <c r="A9" s="8" t="n">
        <v>6</v>
      </c>
      <c r="B9" s="9" t="s">
        <v>17</v>
      </c>
      <c r="C9" s="8" t="n">
        <v>2</v>
      </c>
      <c r="D9" s="10" t="n">
        <f aca="false">ROUNDDOWN(0.87*2,0)</f>
        <v>1</v>
      </c>
      <c r="E9" s="11" t="s">
        <v>18</v>
      </c>
    </row>
    <row r="10" customFormat="false" ht="15" hidden="false" customHeight="true" outlineLevel="0" collapsed="false">
      <c r="A10" s="4" t="n">
        <v>7</v>
      </c>
      <c r="B10" s="5" t="s">
        <v>19</v>
      </c>
      <c r="C10" s="4" t="s">
        <v>20</v>
      </c>
      <c r="D10" s="6" t="n">
        <f aca="false">ROUNDDOWN(6,0)</f>
        <v>6</v>
      </c>
      <c r="E10" s="7" t="s">
        <v>21</v>
      </c>
    </row>
    <row r="11" customFormat="false" ht="15" hidden="false" customHeight="true" outlineLevel="0" collapsed="false">
      <c r="A11" s="8" t="n">
        <v>8</v>
      </c>
      <c r="B11" s="9" t="s">
        <v>22</v>
      </c>
      <c r="C11" s="8" t="n">
        <v>2</v>
      </c>
      <c r="D11" s="10" t="n">
        <f aca="false">ROUNDDOWN(6.87*2,0)</f>
        <v>13</v>
      </c>
      <c r="E11" s="11" t="s">
        <v>23</v>
      </c>
    </row>
    <row r="12" customFormat="false" ht="15" hidden="false" customHeight="true" outlineLevel="0" collapsed="false">
      <c r="A12" s="4" t="n">
        <v>9</v>
      </c>
      <c r="B12" s="5" t="s">
        <v>24</v>
      </c>
      <c r="C12" s="4" t="n">
        <v>2</v>
      </c>
      <c r="D12" s="6" t="n">
        <f aca="false">ROUNDDOWN(5.75*2,0)</f>
        <v>11</v>
      </c>
      <c r="E12" s="7" t="s">
        <v>25</v>
      </c>
    </row>
    <row r="13" customFormat="false" ht="15" hidden="false" customHeight="true" outlineLevel="0" collapsed="false">
      <c r="A13" s="8" t="n">
        <v>10</v>
      </c>
      <c r="B13" s="9" t="s">
        <v>26</v>
      </c>
      <c r="C13" s="8" t="n">
        <v>2</v>
      </c>
      <c r="D13" s="10" t="n">
        <f aca="false">ROUNDDOWN(13.89*2,0)-6-2</f>
        <v>19</v>
      </c>
      <c r="E13" s="11" t="s">
        <v>27</v>
      </c>
    </row>
    <row r="14" customFormat="false" ht="15" hidden="false" customHeight="true" outlineLevel="0" collapsed="false">
      <c r="A14" s="4" t="n">
        <v>11</v>
      </c>
      <c r="B14" s="5" t="s">
        <v>28</v>
      </c>
      <c r="C14" s="4" t="n">
        <v>2</v>
      </c>
      <c r="D14" s="6" t="n">
        <f aca="false">ROUNDDOWN(2.5,0)</f>
        <v>2</v>
      </c>
      <c r="E14" s="7" t="s">
        <v>29</v>
      </c>
    </row>
    <row r="15" customFormat="false" ht="15" hidden="false" customHeight="true" outlineLevel="0" collapsed="false">
      <c r="A15" s="8" t="n">
        <v>12</v>
      </c>
      <c r="B15" s="9" t="s">
        <v>30</v>
      </c>
      <c r="C15" s="8" t="s">
        <v>31</v>
      </c>
      <c r="D15" s="10" t="n">
        <f aca="false">ROUNDDOWN(1,0)</f>
        <v>1</v>
      </c>
      <c r="E15" s="11" t="s">
        <v>32</v>
      </c>
    </row>
    <row r="16" customFormat="false" ht="15" hidden="false" customHeight="true" outlineLevel="0" collapsed="false">
      <c r="A16" s="4" t="n">
        <v>13</v>
      </c>
      <c r="B16" s="5" t="s">
        <v>33</v>
      </c>
      <c r="C16" s="4" t="s">
        <v>34</v>
      </c>
      <c r="D16" s="6" t="n">
        <f aca="false">ROUNDDOWN(6,0)</f>
        <v>6</v>
      </c>
      <c r="E16" s="7" t="s">
        <v>35</v>
      </c>
    </row>
    <row r="17" customFormat="false" ht="15" hidden="false" customHeight="true" outlineLevel="0" collapsed="false">
      <c r="A17" s="8" t="n">
        <v>14</v>
      </c>
      <c r="B17" s="9" t="s">
        <v>36</v>
      </c>
      <c r="C17" s="8" t="n">
        <v>2</v>
      </c>
      <c r="D17" s="10" t="n">
        <f aca="false">ROUNDDOWN(5,0)</f>
        <v>5</v>
      </c>
      <c r="E17" s="11" t="s">
        <v>37</v>
      </c>
    </row>
    <row r="18" customFormat="false" ht="15" hidden="false" customHeight="true" outlineLevel="0" collapsed="false">
      <c r="A18" s="8" t="n">
        <v>15</v>
      </c>
      <c r="B18" s="9" t="s">
        <v>38</v>
      </c>
      <c r="C18" s="8" t="n">
        <v>1</v>
      </c>
      <c r="D18" s="10" t="n">
        <f aca="false">ROUNDDOWN(6,0)</f>
        <v>6</v>
      </c>
      <c r="E18" s="11" t="s">
        <v>39</v>
      </c>
    </row>
    <row r="19" customFormat="false" ht="19.5" hidden="false" customHeight="true" outlineLevel="0" collapsed="false">
      <c r="A19" s="8" t="n">
        <v>16</v>
      </c>
      <c r="B19" s="1" t="s">
        <v>40</v>
      </c>
      <c r="C19" s="1" t="s">
        <v>9</v>
      </c>
      <c r="D19" s="10" t="n">
        <f aca="false">ROUNDDOWN(2,0)</f>
        <v>2</v>
      </c>
      <c r="E19" s="11" t="s">
        <v>41</v>
      </c>
    </row>
    <row r="20" customFormat="false" ht="15" hidden="false" customHeight="true" outlineLevel="0" collapsed="false">
      <c r="A20" s="12" t="s">
        <v>42</v>
      </c>
      <c r="B20" s="12"/>
      <c r="C20" s="12"/>
      <c r="D20" s="13" t="n">
        <f aca="false">SUM(D4:D19)</f>
        <v>104</v>
      </c>
      <c r="E20" s="14"/>
    </row>
  </sheetData>
  <mergeCells count="2">
    <mergeCell ref="A1:E1"/>
    <mergeCell ref="A20:C20"/>
  </mergeCells>
  <hyperlinks>
    <hyperlink ref="E4" r:id="rId1" display="https://www.aliexpress.com/item/1005012158303665.html?gatewayAdapt=4itemAdapt"/>
    <hyperlink ref="E5" r:id="rId2" display="https://www.aliexpress.com/item/1005012158271211.html?gatewayAdapt=4itemAdapt"/>
    <hyperlink ref="E6" r:id="rId3" display="https://www.aliexpress.com/item/1005012023753266.html?spm=a2g0o.productlist.main.1.42ac4f00uRRwVf&amp;algo_pvid=6ee235e1-9a38-4e73-b1bb-3e87314466f7&amp;pdp_ext_f=%7B%22order%22%3A%22755%22%2C%22eval%22%3A%221%22%2C%22fromPage%22%3A%22search%22%7D&amp;utparam-url=scene%3Asearch%7Cquery_from%3A%7Cx_object_id%3A1005012023753266%7C_p_origin_prod%3A"/>
    <hyperlink ref="E7" r:id="rId4" display="https://www.aliexpress.com/item/1005012946452793.html?spm=a2g0o.productlist.main.7.421159c1FjjpDz&amp;algo_pvid=14c993d8-b0ae-4c1f-b862-66f72ee5c869&amp;pdp_ext_f=%7B%22order%22%3A%221%22%2C%22eval%22%3A%221%22%2C%22fromPage%22%3A%22search%22%7D&amp;utparam-url=scene%3Asearch%7Cquery_from%3A%7Cx_object_id%3A1005012946452793%7C_p_origin_prod%3A"/>
    <hyperlink ref="E8" r:id="rId5" display="https://www.aliexpress.com/item/1005009741771008.html?gatewayAdapt=4itemAdapt"/>
    <hyperlink ref="E9" r:id="rId6" display="https://www.aliexpress.com/item/1005005699690954.html?spm=a2g0o.productlist.main.3.559b24MB24MBGn&amp;algo_pvid=b55ab0da-4b09-4499-87a2-01cbb0ad6a3c&amp;pdp_ext_f=%7B%22order%22%3A%227764%22%2C%22spu_best_type%22%3A%22price%22%2C%22eval%22%3A%221%22%2C%22fromPage%22%3A%22search%22%7D&amp;utparam-url=scene%3Asearch%7Cquery_from%3A%7Cx_object_id%3A1005005699690954%7C_p_origin_prod%3A"/>
    <hyperlink ref="E10" r:id="rId7" display="https://www.aliexpress.com/item/4000278832965.html?gatewayAdapt=4itemAdapt"/>
    <hyperlink ref="E11" r:id="rId8" display="https://www.aliexpress.com/item/32787855982.html?gatewayAdapt=4itemAdapt"/>
    <hyperlink ref="E12" r:id="rId9" display="https://www.aliexpress.com/item/3256810087074008.html"/>
    <hyperlink ref="E13" r:id="rId10" display="https://www.aliexpress.com/item/1005009640200327.html?gatewayAdapt=4itemAdapt"/>
    <hyperlink ref="E14" r:id="rId11" display="https://www.aliexpress.com/item/1005012438620524.html?gatewayAdapt=4itemAdapt"/>
    <hyperlink ref="E15" r:id="rId12" display="https://www.aliexpress.com/item/1005001627492009.html?gatewayAdapt=4itemAdapt"/>
    <hyperlink ref="E16" r:id="rId13" display="https://www.aliexpress.com/item/1005009270045616.html?gatewayAdapt=4itemAdapt"/>
    <hyperlink ref="E17" r:id="rId14" display="https://www.aliexpress.com/item/1005009323738855.html?gatewayAdapt=4itemAdap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2026-08-21T06:59:42Z</dcterms:created>
  <dc:creator>wp0sdwk0001XZ$</dc:creator>
  <dc:description/>
  <dc:language>en-US</dc:language>
  <cp:lastModifiedBy/>
  <dcterms:modified xsi:type="dcterms:W3CDTF">2026-08-30T18:48:35Z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